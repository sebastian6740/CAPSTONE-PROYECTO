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sion inicial" sheetId="1" r:id="rId4"/>
    <sheet state="visible" name="Proyecciones" sheetId="2" r:id="rId5"/>
  </sheets>
  <definedNames/>
  <calcPr/>
  <extLst>
    <ext uri="GoogleSheetsCustomDataVersion2">
      <go:sheetsCustomData xmlns:go="http://customooxmlschemas.google.com/" r:id="rId6" roundtripDataChecksum="qeXN1QN6UME8ZoODDz6Cxt4cJ0EXwXqrZ2XLp/ZXIGU="/>
    </ext>
  </extLst>
</workbook>
</file>

<file path=xl/sharedStrings.xml><?xml version="1.0" encoding="utf-8"?>
<sst xmlns="http://schemas.openxmlformats.org/spreadsheetml/2006/main" count="89" uniqueCount="72">
  <si>
    <t>Gastos operacionales mensuales</t>
  </si>
  <si>
    <t>Sueldos dos desarrolladores + un diseñador</t>
  </si>
  <si>
    <t>Servidores y hosting mensual</t>
  </si>
  <si>
    <t>Marketing Digital</t>
  </si>
  <si>
    <t>Gastos administrativos</t>
  </si>
  <si>
    <t>Total mensual</t>
  </si>
  <si>
    <t>Inversion inicial para el desarrollo de app movil "tienda de trueques" (valores aproximados a los del mercado actual)</t>
  </si>
  <si>
    <t>Recurso humano necesario</t>
  </si>
  <si>
    <t xml:space="preserve">Desarrollador full stack </t>
  </si>
  <si>
    <t>Desarrollador junior</t>
  </si>
  <si>
    <t>Diseñador UI/UX</t>
  </si>
  <si>
    <t>Total</t>
  </si>
  <si>
    <t>Hardware</t>
  </si>
  <si>
    <t>2 Equipos computadores</t>
  </si>
  <si>
    <t>Servidores testing</t>
  </si>
  <si>
    <t>Dispositivos testing (stmartphones)</t>
  </si>
  <si>
    <t>total</t>
  </si>
  <si>
    <t>Infraestructura Licencias</t>
  </si>
  <si>
    <t>Licencias de software (IDE, diseño, herramientas)</t>
  </si>
  <si>
    <t xml:space="preserve"> </t>
  </si>
  <si>
    <t>herramientas de colaboracion (slack, notion,etc)</t>
  </si>
  <si>
    <t>Dominio y ssl</t>
  </si>
  <si>
    <t>Gastos operacionales</t>
  </si>
  <si>
    <t>Asesoria legal</t>
  </si>
  <si>
    <t>Gastos administrativos (internet programadores y telefono)</t>
  </si>
  <si>
    <t>Gastos post desarrollo</t>
  </si>
  <si>
    <t>Servidores Produccion (primeros 3 meses)</t>
  </si>
  <si>
    <t>Publicacion en stores</t>
  </si>
  <si>
    <t>Presupuesto necesario inicial</t>
  </si>
  <si>
    <t>Proyecciones financieras (5 años)</t>
  </si>
  <si>
    <t>Ingresos</t>
  </si>
  <si>
    <t>Año 0</t>
  </si>
  <si>
    <t>Año 1</t>
  </si>
  <si>
    <t>Año 2</t>
  </si>
  <si>
    <t>Año 3</t>
  </si>
  <si>
    <t>Año 4</t>
  </si>
  <si>
    <t>Año 5</t>
  </si>
  <si>
    <t>Concepto</t>
  </si>
  <si>
    <t>Comision por validacion de perfil</t>
  </si>
  <si>
    <t>Publicidad y promociones</t>
  </si>
  <si>
    <t>Suscripciones Premium</t>
  </si>
  <si>
    <t>Total ingresos</t>
  </si>
  <si>
    <t>Egresos</t>
  </si>
  <si>
    <t>Año1</t>
  </si>
  <si>
    <t>Sueldos equipo (3 personas)</t>
  </si>
  <si>
    <t>Sueldos</t>
  </si>
  <si>
    <t>5000000 * 12</t>
  </si>
  <si>
    <t>Servidores y hosting</t>
  </si>
  <si>
    <t>Servidores</t>
  </si>
  <si>
    <t>150000 *12</t>
  </si>
  <si>
    <t>Marketing digital</t>
  </si>
  <si>
    <t>Marketing</t>
  </si>
  <si>
    <t>300000 * 12</t>
  </si>
  <si>
    <t>Administrativos</t>
  </si>
  <si>
    <t>100000 * 12</t>
  </si>
  <si>
    <t>Total Egresos</t>
  </si>
  <si>
    <t>Flujo de caja neto</t>
  </si>
  <si>
    <t>Inversion inicial</t>
  </si>
  <si>
    <t xml:space="preserve">Ingresos </t>
  </si>
  <si>
    <t>Flujo Neto Anual</t>
  </si>
  <si>
    <t>Flujo Acumulado</t>
  </si>
  <si>
    <t>Indicadores Financieros</t>
  </si>
  <si>
    <t>VAN (tasa 10%)</t>
  </si>
  <si>
    <r>
      <rPr>
        <rFont val="Calibri"/>
        <b/>
        <color theme="1"/>
      </rPr>
      <t>Conclusión:</t>
    </r>
    <r>
      <rPr>
        <rFont val="Calibri"/>
        <color theme="1"/>
      </rPr>
      <t xml:space="preserve"> el proyecto financieramente es viable con un VAN positivo de 18,4 millones, TIR del 22% y recuperacion de la inversion en 3,7 años, requiere una inversion inicial de 7,2 millones y alcanza un punto de equilibrio en en el 3 er año con 30.000 usuarios </t>
    </r>
  </si>
  <si>
    <t>TIR</t>
  </si>
  <si>
    <t>Payback</t>
  </si>
  <si>
    <t>3,7 años</t>
  </si>
  <si>
    <t>Escenario de crecimiento  de usuarios</t>
  </si>
  <si>
    <t>Año</t>
  </si>
  <si>
    <t>Usuarios activos</t>
  </si>
  <si>
    <t>Transacciones por mes</t>
  </si>
  <si>
    <t>Transacciones por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</si>
</sst>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2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2" numFmtId="0" xfId="0" applyBorder="1" applyFont="1"/>
    <xf borderId="9" fillId="0" fontId="1" numFmtId="0" xfId="0" applyBorder="1" applyFont="1"/>
    <xf borderId="4" fillId="2" fontId="3" numFmtId="0" xfId="0" applyAlignment="1" applyBorder="1" applyFill="1" applyFont="1">
      <alignment horizontal="center" readingOrder="0" shrinkToFit="0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3" fontId="1" numFmtId="0" xfId="0" applyAlignment="1" applyBorder="1" applyFill="1" applyFont="1">
      <alignment horizontal="center" readingOrder="0"/>
    </xf>
    <xf borderId="15" fillId="0" fontId="2" numFmtId="0" xfId="0" applyBorder="1" applyFont="1"/>
    <xf borderId="1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readingOrder="0"/>
    </xf>
    <xf borderId="7" fillId="3" fontId="3" numFmtId="0" xfId="0" applyAlignment="1" applyBorder="1" applyFont="1">
      <alignment horizontal="center"/>
    </xf>
    <xf borderId="0" fillId="0" fontId="3" numFmtId="3" xfId="0" applyFont="1" applyNumberFormat="1"/>
    <xf borderId="11" fillId="0" fontId="3" numFmtId="0" xfId="0" applyAlignment="1" applyBorder="1" applyFont="1">
      <alignment horizontal="center"/>
    </xf>
    <xf borderId="3" fillId="0" fontId="3" numFmtId="3" xfId="0" applyBorder="1" applyFont="1" applyNumberFormat="1"/>
    <xf borderId="1" fillId="0" fontId="3" numFmtId="0" xfId="0" applyAlignment="1" applyBorder="1" applyFont="1">
      <alignment horizontal="center"/>
    </xf>
    <xf borderId="6" fillId="0" fontId="3" numFmtId="3" xfId="0" applyBorder="1" applyFont="1" applyNumberFormat="1"/>
    <xf borderId="0" fillId="0" fontId="3" numFmtId="0" xfId="0" applyAlignment="1" applyFont="1">
      <alignment horizontal="center"/>
    </xf>
    <xf borderId="16" fillId="0" fontId="3" numFmtId="0" xfId="0" applyBorder="1" applyFont="1"/>
    <xf borderId="17" fillId="0" fontId="3" numFmtId="3" xfId="0" applyBorder="1" applyFont="1" applyNumberFormat="1"/>
    <xf borderId="12" fillId="0" fontId="3" numFmtId="3" xfId="0" applyBorder="1" applyFont="1" applyNumberFormat="1"/>
    <xf borderId="18" fillId="0" fontId="3" numFmtId="0" xfId="0" applyAlignment="1" applyBorder="1" applyFont="1">
      <alignment horizontal="center" shrinkToFit="0" wrapText="1"/>
    </xf>
    <xf borderId="19" fillId="0" fontId="2" numFmtId="0" xfId="0" applyBorder="1" applyFont="1"/>
    <xf borderId="20" fillId="0" fontId="3" numFmtId="3" xfId="0" applyBorder="1" applyFont="1" applyNumberFormat="1"/>
    <xf borderId="0" fillId="0" fontId="1" numFmtId="0" xfId="0" applyFont="1"/>
    <xf borderId="1" fillId="0" fontId="3" numFmtId="0" xfId="0" applyAlignment="1" applyBorder="1" applyFont="1">
      <alignment horizontal="center" shrinkToFit="0" wrapText="1"/>
    </xf>
    <xf borderId="6" fillId="0" fontId="3" numFmtId="3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7" fillId="0" fontId="3" numFmtId="0" xfId="0" applyBorder="1" applyFont="1"/>
    <xf borderId="4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21" fillId="0" fontId="3" numFmtId="3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/>
    </xf>
    <xf borderId="9" fillId="0" fontId="1" numFmtId="3" xfId="0" applyBorder="1" applyFont="1" applyNumberFormat="1"/>
    <xf borderId="1" fillId="0" fontId="3" numFmtId="0" xfId="0" applyAlignment="1" applyBorder="1" applyFont="1">
      <alignment horizontal="center" readingOrder="0"/>
    </xf>
    <xf borderId="22" fillId="0" fontId="2" numFmtId="0" xfId="0" applyBorder="1" applyFont="1"/>
    <xf borderId="0" fillId="0" fontId="1" numFmtId="0" xfId="0" applyAlignment="1" applyFont="1">
      <alignment readingOrder="0"/>
    </xf>
    <xf borderId="3" fillId="0" fontId="1" numFmtId="0" xfId="0" applyBorder="1" applyFont="1"/>
    <xf borderId="6" fillId="0" fontId="1" numFmtId="0" xfId="0" applyBorder="1" applyFont="1"/>
    <xf borderId="3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 shrinkToFit="0" wrapText="1"/>
    </xf>
    <xf borderId="3" fillId="0" fontId="1" numFmtId="9" xfId="0" applyAlignment="1" applyBorder="1" applyFont="1" applyNumberFormat="1">
      <alignment readingOrder="0"/>
    </xf>
    <xf borderId="3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14"/>
    <col customWidth="1" min="4" max="4" width="33.57"/>
    <col customWidth="1" min="5" max="5" width="14.14"/>
    <col customWidth="1" min="6" max="6" width="10.71"/>
    <col customWidth="1" min="7" max="7" width="15.0"/>
    <col customWidth="1" min="8" max="11" width="10.71"/>
    <col customWidth="1" min="12" max="12" width="23.29"/>
    <col customWidth="1" min="13" max="26" width="10.71"/>
  </cols>
  <sheetData>
    <row r="1" ht="14.25" customHeight="1"/>
    <row r="2" ht="15.0" customHeight="1"/>
    <row r="3" ht="15.0" customHeight="1">
      <c r="C3" s="1" t="s">
        <v>0</v>
      </c>
      <c r="D3" s="2"/>
    </row>
    <row r="4" ht="15.0" customHeight="1"/>
    <row r="5" ht="15.0" customHeight="1">
      <c r="C5" s="1" t="s">
        <v>1</v>
      </c>
      <c r="D5" s="2"/>
      <c r="E5" s="3">
        <v>5000000.0</v>
      </c>
    </row>
    <row r="6" ht="15.0" customHeight="1">
      <c r="C6" s="1" t="s">
        <v>2</v>
      </c>
      <c r="D6" s="2"/>
      <c r="E6" s="3">
        <v>150000.0</v>
      </c>
    </row>
    <row r="7" ht="15.0" customHeight="1">
      <c r="C7" s="1" t="s">
        <v>3</v>
      </c>
      <c r="D7" s="2"/>
      <c r="E7" s="3">
        <v>300000.0</v>
      </c>
    </row>
    <row r="8" ht="15.0" customHeight="1">
      <c r="C8" s="4" t="s">
        <v>4</v>
      </c>
      <c r="D8" s="5"/>
      <c r="E8" s="6">
        <v>100000.0</v>
      </c>
    </row>
    <row r="9" ht="15.0" customHeight="1">
      <c r="C9" s="7" t="s">
        <v>5</v>
      </c>
      <c r="D9" s="8"/>
      <c r="E9" s="9">
        <f>SUM(E5:E8)</f>
        <v>5550000</v>
      </c>
    </row>
    <row r="10" ht="15.0" customHeight="1"/>
    <row r="11" ht="15.0" customHeight="1"/>
    <row r="12" ht="14.25" customHeight="1"/>
    <row r="13" ht="14.25" customHeight="1"/>
    <row r="14" ht="14.25" customHeight="1">
      <c r="B14" s="10" t="s">
        <v>6</v>
      </c>
      <c r="C14" s="11"/>
      <c r="D14" s="11"/>
      <c r="E14" s="11"/>
      <c r="F14" s="5"/>
    </row>
    <row r="15" ht="14.25" customHeight="1">
      <c r="B15" s="12"/>
      <c r="C15" s="13"/>
      <c r="D15" s="13"/>
      <c r="E15" s="13"/>
      <c r="F15" s="14"/>
    </row>
    <row r="16" ht="14.25" customHeight="1"/>
    <row r="17" ht="14.25" customHeight="1">
      <c r="C17" s="15" t="s">
        <v>7</v>
      </c>
      <c r="D17" s="16"/>
    </row>
    <row r="18" ht="14.25" customHeight="1">
      <c r="C18" s="17" t="s">
        <v>8</v>
      </c>
      <c r="D18" s="2"/>
      <c r="G18" s="3">
        <v>2000000.0</v>
      </c>
    </row>
    <row r="19" ht="14.25" customHeight="1">
      <c r="C19" s="17" t="s">
        <v>9</v>
      </c>
      <c r="D19" s="2"/>
      <c r="G19" s="3">
        <v>1500000.0</v>
      </c>
    </row>
    <row r="20" ht="14.25" customHeight="1">
      <c r="C20" s="17" t="s">
        <v>10</v>
      </c>
      <c r="D20" s="2"/>
      <c r="G20" s="6">
        <v>1500000.0</v>
      </c>
    </row>
    <row r="21" ht="14.25" customHeight="1">
      <c r="F21" s="18" t="s">
        <v>11</v>
      </c>
      <c r="G21" s="9">
        <f>SUM(G20, G19, G18,)</f>
        <v>5000000</v>
      </c>
    </row>
    <row r="22" ht="15.75" customHeight="1">
      <c r="C22" s="19" t="s">
        <v>12</v>
      </c>
      <c r="D22" s="8"/>
      <c r="G22" s="20"/>
    </row>
    <row r="23" ht="14.25" customHeight="1">
      <c r="C23" s="21" t="s">
        <v>13</v>
      </c>
      <c r="D23" s="14"/>
      <c r="G23" s="22">
        <v>2500000.0</v>
      </c>
    </row>
    <row r="24" ht="14.25" customHeight="1">
      <c r="C24" s="23" t="s">
        <v>14</v>
      </c>
      <c r="D24" s="2"/>
      <c r="G24" s="22">
        <v>500000.0</v>
      </c>
    </row>
    <row r="25" ht="14.25" customHeight="1">
      <c r="C25" s="23" t="s">
        <v>15</v>
      </c>
      <c r="D25" s="2"/>
      <c r="G25" s="24">
        <v>1200000.0</v>
      </c>
    </row>
    <row r="26" ht="14.25" customHeight="1">
      <c r="C26" s="25"/>
      <c r="D26" s="25"/>
      <c r="F26" s="26" t="s">
        <v>16</v>
      </c>
      <c r="G26" s="27">
        <f>G23+G24+G25</f>
        <v>4200000</v>
      </c>
    </row>
    <row r="27" ht="14.25" customHeight="1">
      <c r="C27" s="19" t="s">
        <v>17</v>
      </c>
      <c r="D27" s="8"/>
      <c r="G27" s="28"/>
    </row>
    <row r="28" ht="17.25" customHeight="1">
      <c r="C28" s="29" t="s">
        <v>18</v>
      </c>
      <c r="D28" s="30"/>
      <c r="G28" s="31">
        <v>600000.0</v>
      </c>
    </row>
    <row r="29" ht="16.5" customHeight="1">
      <c r="B29" s="32" t="s">
        <v>19</v>
      </c>
      <c r="C29" s="33" t="s">
        <v>20</v>
      </c>
      <c r="D29" s="2"/>
      <c r="G29" s="22">
        <v>100000.0</v>
      </c>
    </row>
    <row r="30" ht="14.25" customHeight="1">
      <c r="C30" s="23" t="s">
        <v>21</v>
      </c>
      <c r="D30" s="2"/>
      <c r="G30" s="24">
        <v>50000.0</v>
      </c>
    </row>
    <row r="31" ht="14.25" customHeight="1">
      <c r="C31" s="25"/>
      <c r="D31" s="25"/>
      <c r="F31" s="26" t="s">
        <v>16</v>
      </c>
      <c r="G31" s="27">
        <f>G28+G29+G30</f>
        <v>750000</v>
      </c>
    </row>
    <row r="32" ht="14.25" customHeight="1">
      <c r="C32" s="19" t="s">
        <v>22</v>
      </c>
      <c r="D32" s="8"/>
    </row>
    <row r="33" ht="14.25" customHeight="1">
      <c r="C33" s="23" t="s">
        <v>23</v>
      </c>
      <c r="D33" s="2"/>
      <c r="G33" s="34">
        <v>1500000.0</v>
      </c>
    </row>
    <row r="34" ht="30.0" customHeight="1">
      <c r="C34" s="35" t="s">
        <v>24</v>
      </c>
      <c r="D34" s="2"/>
      <c r="G34" s="34">
        <v>300000.0</v>
      </c>
    </row>
    <row r="35" ht="17.25" customHeight="1">
      <c r="C35" s="36"/>
      <c r="D35" s="36"/>
      <c r="F35" s="37" t="s">
        <v>11</v>
      </c>
      <c r="G35" s="27">
        <f>G33+G34</f>
        <v>1800000</v>
      </c>
    </row>
    <row r="36" ht="14.25" customHeight="1">
      <c r="C36" s="19" t="s">
        <v>25</v>
      </c>
      <c r="D36" s="8"/>
    </row>
    <row r="37" ht="14.25" customHeight="1">
      <c r="C37" s="38" t="s">
        <v>26</v>
      </c>
      <c r="D37" s="5"/>
      <c r="G37" s="22">
        <v>450000.0</v>
      </c>
    </row>
    <row r="38" ht="14.25" customHeight="1">
      <c r="C38" s="39" t="s">
        <v>27</v>
      </c>
      <c r="D38" s="2"/>
      <c r="G38" s="40">
        <v>35000.0</v>
      </c>
    </row>
    <row r="39" ht="14.25" customHeight="1">
      <c r="C39" s="41"/>
      <c r="F39" s="37" t="s">
        <v>11</v>
      </c>
      <c r="G39" s="27">
        <f> G38+G37</f>
        <v>485000</v>
      </c>
      <c r="J39" s="25"/>
      <c r="L39" s="42"/>
    </row>
    <row r="40" ht="14.25" customHeight="1"/>
    <row r="41" ht="14.25" customHeight="1">
      <c r="C41" s="1" t="s">
        <v>28</v>
      </c>
      <c r="D41" s="2"/>
      <c r="G41" s="43">
        <f>SUM(G39,G35,G31,G26,)</f>
        <v>7235000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28">
    <mergeCell ref="C3:D3"/>
    <mergeCell ref="C5:D5"/>
    <mergeCell ref="C6:D6"/>
    <mergeCell ref="C7:D7"/>
    <mergeCell ref="C8:D8"/>
    <mergeCell ref="C9:D9"/>
    <mergeCell ref="B14:F15"/>
    <mergeCell ref="C17:D17"/>
    <mergeCell ref="C18:D18"/>
    <mergeCell ref="C19:D19"/>
    <mergeCell ref="C20:D20"/>
    <mergeCell ref="C22:D22"/>
    <mergeCell ref="C23:D23"/>
    <mergeCell ref="C24:D24"/>
    <mergeCell ref="C34:D34"/>
    <mergeCell ref="C36:D36"/>
    <mergeCell ref="C37:D37"/>
    <mergeCell ref="C38:D38"/>
    <mergeCell ref="C39:D39"/>
    <mergeCell ref="J39:K39"/>
    <mergeCell ref="C25:D25"/>
    <mergeCell ref="C27:D27"/>
    <mergeCell ref="C28:D28"/>
    <mergeCell ref="C29:D29"/>
    <mergeCell ref="C30:D30"/>
    <mergeCell ref="C32:D32"/>
    <mergeCell ref="C33:D33"/>
    <mergeCell ref="C41:D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9.86"/>
    <col customWidth="1" min="4" max="4" width="14.14"/>
    <col customWidth="1" min="5" max="5" width="16.57"/>
    <col customWidth="1" min="6" max="6" width="21.14"/>
    <col customWidth="1" min="7" max="7" width="20.57"/>
    <col customWidth="1" min="8" max="8" width="16.14"/>
    <col customWidth="1" min="9" max="9" width="14.57"/>
    <col customWidth="1" min="10" max="10" width="10.71"/>
    <col customWidth="1" min="11" max="11" width="15.86"/>
    <col customWidth="1" min="12" max="12" width="13.43"/>
    <col customWidth="1" min="13" max="26" width="10.71"/>
  </cols>
  <sheetData>
    <row r="1" ht="14.25" customHeight="1"/>
    <row r="2" ht="14.25" customHeight="1">
      <c r="C2" s="44" t="s">
        <v>29</v>
      </c>
      <c r="D2" s="45"/>
      <c r="E2" s="2"/>
    </row>
    <row r="3" ht="14.25" customHeight="1"/>
    <row r="4" ht="14.25" customHeight="1"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</row>
    <row r="5" ht="14.25" customHeight="1">
      <c r="C5" s="3" t="s">
        <v>37</v>
      </c>
    </row>
    <row r="6" ht="14.25" customHeight="1">
      <c r="C6" s="3" t="s">
        <v>38</v>
      </c>
      <c r="E6" s="46">
        <v>1.2E7</v>
      </c>
      <c r="F6" s="46">
        <v>3.6E7</v>
      </c>
      <c r="G6" s="46">
        <v>7.2E7</v>
      </c>
      <c r="H6" s="46">
        <v>1.08E8</v>
      </c>
      <c r="I6" s="46">
        <v>1.44E8</v>
      </c>
    </row>
    <row r="7" ht="14.25" customHeight="1">
      <c r="C7" s="3" t="s">
        <v>39</v>
      </c>
      <c r="E7" s="46">
        <v>2000000.0</v>
      </c>
      <c r="F7" s="46">
        <v>6000000.0</v>
      </c>
      <c r="G7" s="46">
        <v>1.2E7</v>
      </c>
      <c r="H7" s="46">
        <v>1.8E7</v>
      </c>
      <c r="I7" s="46">
        <v>2.4E7</v>
      </c>
    </row>
    <row r="8" ht="14.25" customHeight="1">
      <c r="C8" s="6" t="s">
        <v>40</v>
      </c>
      <c r="E8" s="46">
        <v>1200000.0</v>
      </c>
      <c r="F8" s="46">
        <v>4800000.0</v>
      </c>
      <c r="G8" s="46">
        <v>9600000.0</v>
      </c>
      <c r="H8" s="46">
        <v>1.44E7</v>
      </c>
      <c r="I8" s="46">
        <v>1.92E7</v>
      </c>
    </row>
    <row r="9" ht="14.25" customHeight="1">
      <c r="C9" s="18" t="s">
        <v>41</v>
      </c>
      <c r="D9" s="9"/>
      <c r="E9" s="9">
        <f t="shared" ref="E9:H9" si="1">SUM(E6:E8)</f>
        <v>15200000</v>
      </c>
      <c r="F9" s="9">
        <f t="shared" si="1"/>
        <v>46800000</v>
      </c>
      <c r="G9" s="9">
        <f t="shared" si="1"/>
        <v>93600000</v>
      </c>
      <c r="H9" s="9">
        <f t="shared" si="1"/>
        <v>140400000</v>
      </c>
      <c r="I9" s="9">
        <f>SUM(I8,I7,I6)</f>
        <v>187200000</v>
      </c>
    </row>
    <row r="10" ht="14.25" customHeight="1"/>
    <row r="11" ht="14.25" customHeight="1">
      <c r="C11" s="46" t="s">
        <v>42</v>
      </c>
    </row>
    <row r="12" ht="14.25" customHeight="1">
      <c r="C12" s="3" t="s">
        <v>37</v>
      </c>
      <c r="D12" s="47"/>
      <c r="E12" s="3" t="s">
        <v>43</v>
      </c>
      <c r="F12" s="3" t="s">
        <v>33</v>
      </c>
      <c r="G12" s="3" t="s">
        <v>34</v>
      </c>
      <c r="H12" s="3" t="s">
        <v>35</v>
      </c>
      <c r="I12" s="3" t="s">
        <v>36</v>
      </c>
    </row>
    <row r="13" ht="14.25" customHeight="1">
      <c r="C13" s="3" t="s">
        <v>44</v>
      </c>
      <c r="D13" s="47"/>
      <c r="E13" s="3">
        <v>6.0E7</v>
      </c>
      <c r="F13" s="3">
        <v>6.0E7</v>
      </c>
      <c r="G13" s="3">
        <v>6.0E7</v>
      </c>
      <c r="H13" s="3">
        <v>6.0E7</v>
      </c>
      <c r="I13" s="3">
        <v>6.0E7</v>
      </c>
      <c r="K13" s="3" t="s">
        <v>45</v>
      </c>
      <c r="L13" s="3" t="s">
        <v>46</v>
      </c>
    </row>
    <row r="14" ht="14.25" customHeight="1">
      <c r="C14" s="3" t="s">
        <v>47</v>
      </c>
      <c r="D14" s="47"/>
      <c r="E14" s="3">
        <v>1800000.0</v>
      </c>
      <c r="F14" s="3">
        <v>1800000.0</v>
      </c>
      <c r="G14" s="3">
        <v>1800000.0</v>
      </c>
      <c r="H14" s="3">
        <v>1800000.0</v>
      </c>
      <c r="I14" s="3">
        <v>1800000.0</v>
      </c>
      <c r="K14" s="3" t="s">
        <v>48</v>
      </c>
      <c r="L14" s="3" t="s">
        <v>49</v>
      </c>
    </row>
    <row r="15" ht="14.25" customHeight="1">
      <c r="C15" s="3" t="s">
        <v>50</v>
      </c>
      <c r="D15" s="47"/>
      <c r="E15" s="3">
        <v>3600000.0</v>
      </c>
      <c r="F15" s="3">
        <v>3600000.0</v>
      </c>
      <c r="G15" s="3">
        <v>3600000.0</v>
      </c>
      <c r="H15" s="3">
        <v>3600000.0</v>
      </c>
      <c r="I15" s="3">
        <v>3600000.0</v>
      </c>
      <c r="K15" s="3" t="s">
        <v>51</v>
      </c>
      <c r="L15" s="3" t="s">
        <v>52</v>
      </c>
    </row>
    <row r="16" ht="14.25" customHeight="1">
      <c r="C16" s="6" t="s">
        <v>4</v>
      </c>
      <c r="D16" s="48"/>
      <c r="E16" s="6">
        <v>1200000.0</v>
      </c>
      <c r="F16" s="6">
        <v>1200000.0</v>
      </c>
      <c r="G16" s="6">
        <v>1200000.0</v>
      </c>
      <c r="H16" s="6">
        <v>1200000.0</v>
      </c>
      <c r="I16" s="6">
        <v>1200000.0</v>
      </c>
      <c r="K16" s="3" t="s">
        <v>53</v>
      </c>
      <c r="L16" s="3" t="s">
        <v>54</v>
      </c>
    </row>
    <row r="17" ht="14.25" customHeight="1">
      <c r="C17" s="18" t="s">
        <v>55</v>
      </c>
      <c r="D17" s="9"/>
      <c r="E17" s="9">
        <f t="shared" ref="E17:I17" si="2">SUM(E13:E16)</f>
        <v>66600000</v>
      </c>
      <c r="F17" s="9">
        <f t="shared" si="2"/>
        <v>66600000</v>
      </c>
      <c r="G17" s="9">
        <f t="shared" si="2"/>
        <v>66600000</v>
      </c>
      <c r="H17" s="9">
        <f t="shared" si="2"/>
        <v>66600000</v>
      </c>
      <c r="I17" s="9">
        <f t="shared" si="2"/>
        <v>66600000</v>
      </c>
    </row>
    <row r="18" ht="14.25" customHeight="1"/>
    <row r="19" ht="14.25" customHeight="1">
      <c r="C19" s="46" t="s">
        <v>56</v>
      </c>
    </row>
    <row r="20" ht="14.25" customHeight="1">
      <c r="C20" s="3" t="s">
        <v>37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35</v>
      </c>
      <c r="I20" s="3" t="s">
        <v>36</v>
      </c>
    </row>
    <row r="21" ht="14.25" customHeight="1">
      <c r="C21" s="3" t="s">
        <v>57</v>
      </c>
      <c r="D21" s="3">
        <v>-7235000.0</v>
      </c>
      <c r="E21" s="47"/>
      <c r="F21" s="3"/>
      <c r="G21" s="3"/>
      <c r="H21" s="3"/>
      <c r="I21" s="3"/>
    </row>
    <row r="22" ht="14.25" customHeight="1">
      <c r="C22" s="3" t="s">
        <v>58</v>
      </c>
      <c r="D22" s="47"/>
      <c r="E22" s="3">
        <v>1.52E7</v>
      </c>
      <c r="F22" s="3">
        <v>4.68E7</v>
      </c>
      <c r="G22" s="3">
        <v>-9.36E7</v>
      </c>
      <c r="H22" s="3">
        <v>1.404E8</v>
      </c>
      <c r="I22" s="3">
        <v>1.872E8</v>
      </c>
    </row>
    <row r="23" ht="14.25" customHeight="1">
      <c r="C23" s="3" t="s">
        <v>42</v>
      </c>
      <c r="D23" s="47"/>
      <c r="E23" s="3">
        <v>-6.66E7</v>
      </c>
      <c r="F23" s="3">
        <v>-6.66E7</v>
      </c>
      <c r="G23" s="3">
        <v>-6.66E7</v>
      </c>
      <c r="H23" s="3">
        <v>-6.66E7</v>
      </c>
      <c r="I23" s="3">
        <v>-6.66E7</v>
      </c>
    </row>
    <row r="24" ht="14.25" customHeight="1">
      <c r="C24" s="3" t="s">
        <v>59</v>
      </c>
      <c r="D24" s="3">
        <v>-7235000.0</v>
      </c>
      <c r="E24" s="3">
        <v>-5.14E7</v>
      </c>
      <c r="F24" s="3">
        <v>-1.98E7</v>
      </c>
      <c r="G24" s="3">
        <v>2.7E7</v>
      </c>
      <c r="H24" s="3">
        <v>7.38E7</v>
      </c>
      <c r="I24" s="3">
        <v>1.206E8</v>
      </c>
    </row>
    <row r="25" ht="14.25" customHeight="1">
      <c r="C25" s="3" t="s">
        <v>60</v>
      </c>
      <c r="D25" s="3">
        <v>-7235000.0</v>
      </c>
      <c r="E25" s="3">
        <v>-5.8635E7</v>
      </c>
      <c r="F25" s="3">
        <v>-7.8435E7</v>
      </c>
      <c r="G25" s="3">
        <v>-5.1435E7</v>
      </c>
      <c r="H25" s="3">
        <v>2.2365E7</v>
      </c>
      <c r="I25" s="3">
        <v>1.42965E8</v>
      </c>
    </row>
    <row r="26" ht="14.25" customHeight="1"/>
    <row r="27" ht="14.25" customHeight="1">
      <c r="C27" s="46" t="s">
        <v>61</v>
      </c>
    </row>
    <row r="28" ht="14.25" customHeight="1">
      <c r="C28" s="3" t="s">
        <v>62</v>
      </c>
      <c r="D28" s="49">
        <v>1.845E7</v>
      </c>
      <c r="F28" s="50" t="s">
        <v>63</v>
      </c>
    </row>
    <row r="29" ht="14.25" customHeight="1">
      <c r="C29" s="3" t="s">
        <v>64</v>
      </c>
      <c r="D29" s="51">
        <v>0.22</v>
      </c>
    </row>
    <row r="30" ht="14.25" customHeight="1">
      <c r="C30" s="3" t="s">
        <v>65</v>
      </c>
      <c r="D30" s="52" t="s">
        <v>66</v>
      </c>
    </row>
    <row r="31" ht="14.25" customHeight="1"/>
    <row r="32" ht="14.25" customHeight="1"/>
    <row r="33" ht="14.25" customHeight="1"/>
    <row r="34" ht="14.25" customHeight="1">
      <c r="C34" s="17" t="s">
        <v>67</v>
      </c>
      <c r="D34" s="45"/>
      <c r="E34" s="2"/>
    </row>
    <row r="35" ht="14.25" customHeight="1"/>
    <row r="36" ht="14.25" customHeight="1">
      <c r="D36" s="3" t="s">
        <v>68</v>
      </c>
      <c r="E36" s="3" t="s">
        <v>69</v>
      </c>
      <c r="F36" s="3" t="s">
        <v>70</v>
      </c>
      <c r="G36" s="3" t="s">
        <v>71</v>
      </c>
    </row>
    <row r="37" ht="14.25" customHeight="1">
      <c r="D37" s="53">
        <v>1.0</v>
      </c>
      <c r="E37" s="53">
        <v>5000.0</v>
      </c>
      <c r="F37" s="53">
        <v>1000.0</v>
      </c>
      <c r="G37" s="53">
        <v>12000.0</v>
      </c>
    </row>
    <row r="38" ht="14.25" customHeight="1">
      <c r="D38" s="53">
        <v>2.0</v>
      </c>
      <c r="E38" s="53">
        <v>15000.0</v>
      </c>
      <c r="F38" s="53">
        <v>3000.0</v>
      </c>
      <c r="G38" s="53">
        <v>36000.0</v>
      </c>
    </row>
    <row r="39" ht="14.25" customHeight="1">
      <c r="D39" s="53">
        <v>3.0</v>
      </c>
      <c r="E39" s="53">
        <v>30000.0</v>
      </c>
      <c r="F39" s="53">
        <v>6000.0</v>
      </c>
      <c r="G39" s="53">
        <v>72000.0</v>
      </c>
    </row>
    <row r="40" ht="14.25" customHeight="1">
      <c r="D40" s="53">
        <v>4.0</v>
      </c>
      <c r="E40" s="53">
        <v>45000.0</v>
      </c>
      <c r="F40" s="53">
        <v>9000.0</v>
      </c>
      <c r="G40" s="53">
        <v>108000.0</v>
      </c>
    </row>
    <row r="41" ht="14.25" customHeight="1">
      <c r="D41" s="53">
        <v>5.0</v>
      </c>
      <c r="E41" s="53">
        <v>60000.0</v>
      </c>
      <c r="F41" s="53">
        <v>12000.0</v>
      </c>
      <c r="G41" s="53">
        <v>144000.0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</sheetData>
  <mergeCells count="3">
    <mergeCell ref="C2:E2"/>
    <mergeCell ref="C34:E34"/>
    <mergeCell ref="F28:I3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2025-11-15T00:09:46Z</dcterms:created>
  <dc:creator>Mudj</dc:creator>
</cp:coreProperties>
</file>